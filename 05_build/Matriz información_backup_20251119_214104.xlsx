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f" sheetId="1" state="visible" r:id="rId1"/>
    <sheet name="patente2022" sheetId="2" state="visible" r:id="rId2"/>
    <sheet name="grz_tecnology" sheetId="3" state="visible" r:id="rId3"/>
    <sheet name="Tube_ASME269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ordVisi_MSFontService"/>
      <charset val="1"/>
      <family val="0"/>
      <b val="1"/>
      <color rgb="FF000000"/>
      <sz val="12"/>
    </font>
    <font>
      <name val="Aptos"/>
      <charset val="1"/>
      <family val="0"/>
      <color rgb="FF000000"/>
      <sz val="12"/>
    </font>
    <font>
      <name val="WordVisi_MSFontService"/>
      <charset val="1"/>
      <family val="0"/>
      <color rgb="FF000000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0" fillId="0" borderId="7" pivotButton="0" quotePrefix="0" xfId="0"/>
    <xf numFmtId="0" fontId="0" fillId="0" borderId="8" pivotButton="0" quotePrefix="0" xfId="0"/>
    <xf numFmtId="0" fontId="0" fillId="0" borderId="3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0</row>
      <rowOff>0</rowOff>
    </from>
    <to>
      <col>9</col>
      <colOff>304560</colOff>
      <row>14</row>
      <rowOff>114120</rowOff>
    </to>
    <pic>
      <nvPicPr>
        <cNvPr id="0" name="Imagen 1" descr=""/>
        <cNvPicPr/>
      </nvPicPr>
      <blipFill>
        <a:blip r:embed="rId1"/>
        <a:stretch>
          <a:fillRect/>
        </a:stretch>
      </blipFill>
      <spPr>
        <a:xfrm>
          <a:off x="3556800" y="0"/>
          <a:ext cx="5118480" cy="2781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6" activeCellId="0" sqref="C16"/>
    </sheetView>
  </sheetViews>
  <sheetFormatPr baseColWidth="8" defaultColWidth="8.59765625" defaultRowHeight="15" customHeight="1" zeroHeight="0" outlineLevelRow="0"/>
  <cols>
    <col width="11" customWidth="1" style="11" min="1" max="1"/>
    <col width="10.29" customWidth="1" style="11" min="2" max="2"/>
    <col width="20.29" customWidth="1" style="11" min="3" max="3"/>
    <col width="23.86" customWidth="1" style="11" min="4" max="4"/>
    <col width="26.71" customWidth="1" style="11" min="5" max="5"/>
    <col width="16.86" customWidth="1" style="11" min="6" max="6"/>
    <col width="17.29" customWidth="1" style="11" min="7" max="7"/>
    <col width="10.16" customWidth="1" style="11" min="16384" max="16384"/>
  </cols>
  <sheetData>
    <row r="1" ht="15" customHeight="1" s="12">
      <c r="A1" s="13" t="inlineStr">
        <is>
          <t>Referencia</t>
        </is>
      </c>
      <c r="B1" s="13" t="inlineStr">
        <is>
          <t>Año</t>
        </is>
      </c>
      <c r="C1" s="13" t="inlineStr">
        <is>
          <t>Hidruro Metalico (MH)</t>
        </is>
      </c>
      <c r="D1" s="13" t="inlineStr">
        <is>
          <t>Aplicacion</t>
        </is>
      </c>
      <c r="E1" s="13" t="inlineStr">
        <is>
          <t>Descripción del sistema</t>
        </is>
      </c>
      <c r="F1" s="13" t="inlineStr">
        <is>
          <t>Forma del Reactor</t>
        </is>
      </c>
      <c r="G1" s="13" t="inlineStr">
        <is>
          <t>Observacion</t>
        </is>
      </c>
    </row>
    <row r="2" ht="15" customHeight="1" s="12">
      <c r="A2" s="14" t="n"/>
      <c r="B2" s="14" t="n"/>
      <c r="C2" s="14" t="n"/>
      <c r="D2" s="14" t="n"/>
      <c r="E2" s="14" t="n"/>
      <c r="F2" s="14" t="n"/>
      <c r="G2" s="14" t="n"/>
    </row>
    <row r="3" ht="103.5" customHeight="1" s="12">
      <c r="A3" s="14" t="inlineStr">
        <is>
          <t>Askri et al.</t>
        </is>
      </c>
      <c r="B3" s="14" t="n">
        <v>2008</v>
      </c>
      <c r="C3" s="14" t="inlineStr">
        <is>
          <t>LaNi5</t>
        </is>
      </c>
      <c r="D3" s="14" t="inlineStr">
        <is>
          <t>Simulacion</t>
        </is>
      </c>
      <c r="E3" s="15" t="inlineStr">
        <is>
          <t>Tanque cilíndrico de hidruro metálico con cuatro configuraciones estudiadas: diseño base, con aletas externas, con tubo concéntrico interno, y combinación tubo-aletas</t>
        </is>
      </c>
      <c r="F3" s="14" t="inlineStr">
        <is>
          <t xml:space="preserve"> cilíndrico</t>
        </is>
      </c>
      <c r="G3" s="15" t="inlineStr">
        <is>
          <t>Aletas externas: 40% mejora,Tubo interno: 60% mejora,Configuración híbrida: 65% mejora</t>
        </is>
      </c>
    </row>
    <row r="4" ht="150.7" customHeight="1" s="12">
      <c r="A4" s="14" t="inlineStr">
        <is>
          <t>Bhouri et al.</t>
        </is>
      </c>
      <c r="B4" s="14" t="n">
        <v>2009</v>
      </c>
      <c r="C4" s="14" t="inlineStr">
        <is>
          <t>LaNi6</t>
        </is>
      </c>
      <c r="D4" s="14" t="inlineStr">
        <is>
          <t>Simulacion</t>
        </is>
      </c>
      <c r="E4" s="15" t="inlineStr">
        <is>
          <t>Reactor cilíndrico multi-tubular con espuma metálica de aluminio integrada para mejorar la transferencia de calor</t>
        </is>
      </c>
      <c r="F4" s="14" t="inlineStr">
        <is>
          <t xml:space="preserve"> cilíndrico</t>
        </is>
      </c>
      <c r="G4" s="15" t="inlineStr">
        <is>
          <t>Reducción del tiempo de carga en 65%,Aumento de conductividad térmica efectiva 4-5 veces, Porosidad óptima: 90-92%, Distribución térmica más uniforme</t>
        </is>
      </c>
    </row>
    <row r="5" ht="15" customHeight="1" s="12">
      <c r="E5" s="16" t="n"/>
      <c r="G5" s="16" t="n"/>
    </row>
    <row r="6" ht="15" customHeight="1" s="12">
      <c r="E6" s="16" t="n"/>
      <c r="G6" s="16" t="n"/>
    </row>
    <row r="7" ht="15" customHeight="1" s="12">
      <c r="E7" s="16" t="n"/>
      <c r="G7" s="16" t="n"/>
    </row>
    <row r="8" ht="15" customHeight="1" s="12">
      <c r="E8" s="16" t="n"/>
      <c r="G8" s="16" t="n"/>
    </row>
    <row r="9" ht="15" customHeight="1" s="12">
      <c r="E9" s="16" t="n"/>
      <c r="G9" s="16" t="n"/>
    </row>
    <row r="10" ht="15" customHeight="1" s="12">
      <c r="E10" s="16" t="n"/>
      <c r="G10" s="16" t="n"/>
    </row>
    <row r="11" ht="15" customHeight="1" s="12">
      <c r="E11" s="16" t="n"/>
      <c r="G11" s="16" t="n"/>
    </row>
    <row r="12" ht="15" customHeight="1" s="12">
      <c r="E12" s="16" t="n"/>
      <c r="G12" s="16" t="n"/>
    </row>
    <row r="13" ht="15" customHeight="1" s="12">
      <c r="E13" s="16" t="n"/>
      <c r="G13" s="16" t="n"/>
    </row>
    <row r="14" ht="15" customHeight="1" s="12">
      <c r="E14" s="16" t="n"/>
      <c r="G14" s="16" t="n"/>
    </row>
    <row r="15" ht="15" customHeight="1" s="12">
      <c r="E15" s="16" t="n"/>
      <c r="G15" s="16" t="n"/>
    </row>
    <row r="16" ht="15" customHeight="1" s="12">
      <c r="E16" s="16" t="n"/>
      <c r="G16" s="16" t="n"/>
    </row>
    <row r="17" ht="15" customHeight="1" s="12">
      <c r="E17" s="16" t="n"/>
      <c r="G17" s="16" t="n"/>
    </row>
    <row r="18" ht="15" customHeight="1" s="12">
      <c r="E18" s="16" t="n"/>
      <c r="G18" s="16" t="n"/>
    </row>
    <row r="19" ht="15" customHeight="1" s="12">
      <c r="E19" s="16" t="n"/>
      <c r="G19" s="16" t="n"/>
    </row>
    <row r="20" ht="15" customHeight="1" s="12">
      <c r="E20" s="16" t="n"/>
      <c r="G20" s="16" t="n"/>
    </row>
    <row r="21" ht="15" customHeight="1" s="12">
      <c r="E21" s="16" t="n"/>
      <c r="G21" s="16" t="n"/>
    </row>
    <row r="22" ht="15" customHeight="1" s="12">
      <c r="E22" s="16" t="n"/>
      <c r="G22" s="16" t="n"/>
    </row>
    <row r="23" ht="15" customHeight="1" s="12">
      <c r="E23" s="16" t="n"/>
      <c r="G23" s="16" t="n"/>
    </row>
    <row r="24" ht="15" customHeight="1" s="12">
      <c r="E24" s="16" t="n"/>
      <c r="G24" s="16" t="n"/>
    </row>
    <row r="25" ht="15" customHeight="1" s="12">
      <c r="E25" s="16" t="n"/>
      <c r="G25" s="16" t="n"/>
    </row>
    <row r="26" ht="15" customHeight="1" s="12">
      <c r="E26" s="16" t="n"/>
      <c r="G26" s="16" t="n"/>
    </row>
    <row r="27" ht="15" customHeight="1" s="12">
      <c r="E27" s="16" t="n"/>
      <c r="G27" s="16" t="n"/>
    </row>
    <row r="28" ht="15" customHeight="1" s="12">
      <c r="E28" s="16" t="n"/>
      <c r="G28" s="16" t="n"/>
    </row>
    <row r="29" ht="15" customHeight="1" s="12">
      <c r="E29" s="16" t="n"/>
      <c r="G29" s="16" t="n"/>
    </row>
    <row r="30" ht="15" customHeight="1" s="12">
      <c r="E30" s="16" t="n"/>
      <c r="G30" s="16" t="n"/>
    </row>
    <row r="31" ht="15" customHeight="1" s="12">
      <c r="E31" s="16" t="n"/>
      <c r="G31" s="16" t="n"/>
    </row>
    <row r="32" ht="15" customHeight="1" s="12">
      <c r="E32" s="16" t="n"/>
      <c r="G32" s="16" t="n"/>
    </row>
    <row r="33" ht="15" customHeight="1" s="12">
      <c r="E33" s="16" t="n"/>
      <c r="G33" s="16" t="n"/>
    </row>
    <row r="34" ht="15" customHeight="1" s="12">
      <c r="E34" s="16" t="n"/>
      <c r="G34" s="16" t="n"/>
    </row>
    <row r="35" ht="15" customHeight="1" s="12">
      <c r="E35" s="16" t="n"/>
      <c r="G35" s="16" t="n"/>
    </row>
    <row r="36" ht="15" customHeight="1" s="12">
      <c r="E36" s="16" t="n"/>
      <c r="G36" s="16" t="n"/>
    </row>
    <row r="37" ht="15" customHeight="1" s="12">
      <c r="E37" s="16" t="n"/>
      <c r="G37" s="16" t="n"/>
    </row>
    <row r="38" ht="15" customHeight="1" s="12">
      <c r="E38" s="16" t="n"/>
      <c r="G38" s="16" t="n"/>
    </row>
    <row r="39" ht="15" customHeight="1" s="12">
      <c r="E39" s="16" t="n"/>
      <c r="G39" s="16" t="n"/>
    </row>
    <row r="40" ht="15" customHeight="1" s="12">
      <c r="E40" s="16" t="n"/>
      <c r="G40" s="16" t="n"/>
    </row>
    <row r="41" ht="15" customHeight="1" s="12">
      <c r="E41" s="16" t="n"/>
      <c r="G41" s="16" t="n"/>
    </row>
    <row r="42" ht="15" customHeight="1" s="12">
      <c r="E42" s="16" t="n"/>
      <c r="G42" s="16" t="n"/>
    </row>
    <row r="43" ht="15" customHeight="1" s="12">
      <c r="E43" s="16" t="n"/>
      <c r="G43" s="16" t="n"/>
    </row>
    <row r="44" ht="15" customHeight="1" s="12">
      <c r="E44" s="16" t="n"/>
      <c r="G44" s="16" t="n"/>
    </row>
    <row r="45" ht="15" customHeight="1" s="12">
      <c r="E45" s="16" t="n"/>
      <c r="G45" s="16" t="n"/>
    </row>
    <row r="46" ht="15" customHeight="1" s="12">
      <c r="E46" s="16" t="n"/>
      <c r="G46" s="16" t="n"/>
    </row>
    <row r="47" ht="15" customHeight="1" s="12">
      <c r="E47" s="16" t="n"/>
      <c r="G47" s="16" t="n"/>
    </row>
    <row r="48" ht="15" customHeight="1" s="12">
      <c r="E48" s="16" t="n"/>
      <c r="G48" s="16" t="n"/>
    </row>
    <row r="49" ht="15" customHeight="1" s="12">
      <c r="E49" s="16" t="n"/>
      <c r="G49" s="16" t="n"/>
    </row>
    <row r="50" ht="15" customHeight="1" s="12">
      <c r="E50" s="16" t="n"/>
      <c r="G50" s="16" t="n"/>
    </row>
    <row r="51" ht="15" customHeight="1" s="12">
      <c r="E51" s="16" t="n"/>
      <c r="G51" s="16" t="n"/>
    </row>
    <row r="52" ht="15" customHeight="1" s="12">
      <c r="G52" s="1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4" activeCellId="0" sqref="D24"/>
    </sheetView>
  </sheetViews>
  <sheetFormatPr baseColWidth="8" defaultColWidth="8.59765625" defaultRowHeight="15" customHeight="1" zeroHeight="0" outlineLevelRow="0"/>
  <cols>
    <col width="35.86" customWidth="1" style="11" min="1" max="1"/>
  </cols>
  <sheetData>
    <row r="1" ht="15" customHeight="1" s="12">
      <c r="A1" s="17" t="inlineStr">
        <is>
          <t>Componentes Principales</t>
        </is>
      </c>
      <c r="B1" s="14" t="n"/>
    </row>
    <row r="2" ht="15" customHeight="1" s="12">
      <c r="A2" s="18" t="inlineStr">
        <is>
          <t>Tubo de flujo de gas</t>
        </is>
      </c>
      <c r="B2" s="19" t="n">
        <v>5</v>
      </c>
    </row>
    <row r="3" ht="15" customHeight="1" s="12">
      <c r="A3" s="20" t="inlineStr">
        <is>
          <t>Reactor</t>
        </is>
      </c>
      <c r="B3" s="13" t="n">
        <v>6</v>
      </c>
    </row>
    <row r="4" ht="15" customHeight="1" s="12">
      <c r="A4" s="20" t="inlineStr">
        <is>
          <t>Pared del reactor</t>
        </is>
      </c>
      <c r="B4" s="13" t="inlineStr">
        <is>
          <t>6a</t>
        </is>
      </c>
    </row>
    <row r="5" ht="15" customHeight="1" s="12">
      <c r="A5" s="20" t="inlineStr">
        <is>
          <t>Tapa final</t>
        </is>
      </c>
      <c r="B5" s="13" t="inlineStr">
        <is>
          <t>6b</t>
        </is>
      </c>
    </row>
    <row r="6" ht="15" customHeight="1" s="12">
      <c r="A6" s="20" t="inlineStr">
        <is>
          <t>Tapa de entrada</t>
        </is>
      </c>
      <c r="B6" s="13" t="inlineStr">
        <is>
          <t>6c</t>
        </is>
      </c>
    </row>
    <row r="7" ht="15" customHeight="1" s="12">
      <c r="A7" s="20" t="inlineStr">
        <is>
          <t>Tubo de conexión en forma de T</t>
        </is>
      </c>
      <c r="B7" s="13" t="n">
        <v>8</v>
      </c>
    </row>
    <row r="8" ht="15" customHeight="1" s="12">
      <c r="A8" s="20" t="inlineStr">
        <is>
          <t>Codo</t>
        </is>
      </c>
      <c r="B8" s="13" t="inlineStr">
        <is>
          <t>8c</t>
        </is>
      </c>
    </row>
    <row r="9" ht="15" customHeight="1" s="12">
      <c r="A9" s="20" t="inlineStr">
        <is>
          <t>Filtro</t>
        </is>
      </c>
      <c r="B9" s="13" t="n">
        <v>9</v>
      </c>
    </row>
    <row r="10" ht="15" customHeight="1" s="12">
      <c r="A10" s="20" t="inlineStr">
        <is>
          <t>Conexión soldada</t>
        </is>
      </c>
      <c r="B10" s="13" t="n">
        <v>11</v>
      </c>
    </row>
    <row r="11" ht="15" customHeight="1" s="12">
      <c r="A11" s="20" t="inlineStr">
        <is>
          <t>Cámara de hidruro metálico (MH)</t>
        </is>
      </c>
      <c r="B11" s="13" t="n">
        <v>13</v>
      </c>
    </row>
    <row r="12" ht="15" customHeight="1" s="12">
      <c r="A12" s="20" t="inlineStr">
        <is>
          <t>Válvulas</t>
        </is>
      </c>
      <c r="B12" s="13" t="inlineStr">
        <is>
          <t>V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7" activeCellId="0" sqref="D27"/>
    </sheetView>
  </sheetViews>
  <sheetFormatPr baseColWidth="8" defaultColWidth="8.59765625" defaultRowHeight="15" customHeight="1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0" activeCellId="0" sqref="F10"/>
    </sheetView>
  </sheetViews>
  <sheetFormatPr baseColWidth="8" defaultColWidth="8.59765625" defaultRowHeight="15" customHeight="1" zeroHeight="0" outlineLevelRow="0"/>
  <cols>
    <col width="23" customWidth="1" style="11" min="1" max="1"/>
    <col width="27.72" customWidth="1" style="11" min="2" max="2"/>
    <col width="25.14" customWidth="1" style="11" min="3" max="3"/>
    <col width="33.29" customWidth="1" style="11" min="6" max="6"/>
  </cols>
  <sheetData>
    <row r="1" ht="15" customHeight="1" s="12">
      <c r="C1" s="13" t="inlineStr">
        <is>
          <t xml:space="preserve">SEPARACION REACTORES (mm) (G) </t>
        </is>
      </c>
      <c r="D1" s="21" t="n"/>
      <c r="E1" s="22" t="n"/>
    </row>
    <row r="2" ht="15" customHeight="1" s="12">
      <c r="A2" s="13" t="inlineStr">
        <is>
          <t>DIAMETRO NOMINAL</t>
        </is>
      </c>
      <c r="B2" s="13" t="inlineStr">
        <is>
          <t>DIAMETRO REACTOR (mm) (D)</t>
        </is>
      </c>
      <c r="C2" s="19" t="inlineStr">
        <is>
          <t>0,05 X D</t>
        </is>
      </c>
      <c r="D2" s="19" t="inlineStr">
        <is>
          <t>0,3 X D</t>
        </is>
      </c>
      <c r="E2" s="23" t="inlineStr">
        <is>
          <t>0,5 X D</t>
        </is>
      </c>
      <c r="F2" s="14" t="inlineStr">
        <is>
          <t>Volumen Total Hidruro al 70% (mm2)</t>
        </is>
      </c>
    </row>
    <row r="3" ht="15" customHeight="1" s="12">
      <c r="A3" s="14" t="inlineStr">
        <is>
          <t>Tubería 1.25" NPS Sch10S</t>
        </is>
      </c>
      <c r="B3" s="14" t="n">
        <v>42.2</v>
      </c>
      <c r="C3" s="14">
        <f>0.05*B3</f>
        <v/>
      </c>
      <c r="D3" s="14">
        <f>0.3*B3</f>
        <v/>
      </c>
      <c r="E3" s="24">
        <f>0.5*B3</f>
        <v/>
      </c>
      <c r="F3" s="14">
        <f>((3.16/4)*(B3*B3)*(260)*(0.7))</f>
        <v/>
      </c>
    </row>
    <row r="4" ht="15" customHeight="1" s="12">
      <c r="A4" s="14" t="inlineStr">
        <is>
          <t>Tubería 1.5" NPS</t>
        </is>
      </c>
      <c r="B4" s="14" t="n">
        <v>48.3</v>
      </c>
      <c r="C4" s="14">
        <f>0.05*B4</f>
        <v/>
      </c>
      <c r="D4" s="14">
        <f>0.3*B4</f>
        <v/>
      </c>
      <c r="E4" s="24">
        <f>0.5*B4</f>
        <v/>
      </c>
      <c r="F4" s="14">
        <f>((3.16/4)*(B4*B4)*(260)*(0.7))</f>
        <v/>
      </c>
    </row>
    <row r="5" ht="15" customHeight="1" s="12">
      <c r="A5" s="14" t="inlineStr">
        <is>
          <t>Tubería 2" NPS</t>
        </is>
      </c>
      <c r="B5" s="14" t="n">
        <v>60.3</v>
      </c>
      <c r="C5" s="14">
        <f>0.05*B5</f>
        <v/>
      </c>
      <c r="D5" s="14">
        <f>0.3*B5</f>
        <v/>
      </c>
      <c r="E5" s="24">
        <f>0.5*B5</f>
        <v/>
      </c>
      <c r="F5" s="14">
        <f>((3.16/4)*(B5*B5)*(260)*(0.7))</f>
        <v/>
      </c>
    </row>
  </sheetData>
  <mergeCells count="1">
    <mergeCell ref="C1:E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es-ES</dc:language>
  <dcterms:created xsi:type="dcterms:W3CDTF">2025-11-12T15:07:05Z</dcterms:created>
  <dcterms:modified xsi:type="dcterms:W3CDTF">2025-11-20T02:41:04Z</dcterms:modified>
  <cp:revision>1</cp:revision>
</cp:coreProperties>
</file>